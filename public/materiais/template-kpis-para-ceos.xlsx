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nel de KPIs" state="visible" r:id="rId4"/>
    <sheet sheetId="2" name="Como usar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<sst xmlns="http://schemas.openxmlformats.org/spreadsheetml/2006/main" count="46" uniqueCount="43">
  <si>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Template de KPIs para CEOs — Brusync</t>
  </si>
  <si>
    <t>Mês</t>
  </si>
  <si>
    <t>Receita (R$)</t>
  </si>
  <si>
    <t>Custos (R$)</t>
  </si>
  <si>
    <t>Lucro (R$)</t>
  </si>
  <si>
    <t>Margem (%)</t>
  </si>
  <si>
    <t>Leads</t>
  </si>
  <si>
    <t>Vendas</t>
  </si>
  <si>
    <t>Conversão (%)</t>
  </si>
  <si>
    <t>Investimento Ads (R$)</t>
  </si>
  <si>
    <t>Novos Clientes</t>
  </si>
  <si>
    <t>CAC (R$)</t>
  </si>
  <si>
    <t>Ticket Médio (R$)</t>
  </si>
  <si>
    <t>Meses de Retenção</t>
  </si>
  <si>
    <t>LTV (R$)</t>
  </si>
  <si>
    <t>ROAS</t>
  </si>
  <si>
    <t>ROI (%)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</si>
  <si>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</si>
  <si>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</si>
  <si>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</si>
  <si>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</si>
  <si>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</si>
  <si>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</si>
  <si>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</si>
  <si>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</si>
  <si>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</si>
  <si>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</si>
  <si>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</si>
  <si>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</si>
  <si>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/ Média</t>
  </si>
  <si>
    <t>Como usar este template</t>
  </si>
  <si>
    <t/>
  </si>
  <si>
    <t>Este template calcula automaticamente os principais indicadores financeiros e comerciais de uma operação, mês a mês.</t>
  </si>
  <si>
    <t>Basta preencher as colunas de entrada (Receita, Custos, Leads, Vendas, Investimento em Ads, Novos Clientes, Ticket Médio e Meses de Retenção) — as demais colunas são calculadas por fórmula.</t>
  </si>
  <si>
    <t>Indicadores calculados automaticamente:</t>
  </si>
  <si>
    <t>• Lucro = Receita - Custos</t>
  </si>
  <si>
    <t>• Margem = Lucro / Receita</t>
  </si>
  <si>
    <t>• Conversão = Vendas / Leads</t>
  </si>
  <si>
    <t>• CAC (Custo de Aquisição de Cliente) = Investimento em Ads / Novos Clientes</t>
  </si>
  <si>
    <t>• LTV (Lifetime Value) = Ticket Médio x Meses de Retenção</t>
  </si>
  <si>
    <t>• ROAS (Retorno sobre Investimento em Ads) = Receita / Investimento em Ads</t>
  </si>
  <si>
    <t>• ROI = Lucro / Investimento em Ads</t>
  </si>
  <si>
    <t>Desenvolvido por Brusync — brusync.com.br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</si>
</sst>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$&quot; #,##0"/>
    <numFmt numFmtId="165" formatCode="0.0%"/>
    <numFmt numFmtId="166" formatCode="0.00\x"/>
  </numFmts>
  <fonts count="6" x14ac:knownFonts="1">
    <font>
      <color theme="1"/>
      <family val="2"/>
      <scheme val="minor"/>
      <sz val="11"/>
      <name val="Calibri"/>
    </font>
    <font>
      <b/>
      <color rgb="FF081C3A"/>
      <sz val="13"/>
    </font>
    <font>
      <b/>
      <color rgb="FFFFFFFF"/>
      <sz val="11"/>
    </font>
    <font>
      <b/>
      <color rgb="FF081C3A"/>
    </font>
    <font>
      <b/>
      <color rgb="FF081C3A"/>
      <sz val="14"/>
    </font>
    <font>
      <color rgb="FF33415C"/>
      <sz val="11"/>
    </font>
  </fonts>
  <fills count="4">
    <fill>
      <patternFill patternType="none"/>
    </fill>
    <fill>
      <patternFill patternType="gray125"/>
    </fill>
    <fill>
      <patternFill patternType="solid">
        <fgColor rgb="FF081C3A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/>
      <right/>
      <top style="thin">
        <color rgb="FFE7EDF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166" fontId="3" fillId="3" borderId="1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7" width="15" customWidth="1"/>
  </cols>
  <sheetData>
    <row r="1" ht="24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6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t="s">
        <v>17</v>
      </c>
      <c r="B3" s="3">
        <v>180000</v>
      </c>
      <c r="C3" s="3">
        <v>128000</v>
      </c>
      <c r="D3" s="3">
        <f>B3-C3</f>
      </c>
      <c r="E3" s="4">
        <f>D3/B3</f>
      </c>
      <c r="F3">
        <v>420</v>
      </c>
      <c r="G3">
        <v>96</v>
      </c>
      <c r="H3" s="4">
        <f>G3/F3</f>
      </c>
      <c r="I3" s="3">
        <v>32000</v>
      </c>
      <c r="J3">
        <v>34</v>
      </c>
      <c r="K3" s="3">
        <f>I3/J3</f>
      </c>
      <c r="L3" s="3">
        <v>2100</v>
      </c>
      <c r="M3">
        <v>14</v>
      </c>
      <c r="N3" s="3">
        <f>L3*M3</f>
      </c>
      <c r="O3" s="5">
        <f>B3/I3</f>
      </c>
      <c r="P3" s="4">
        <f>D3/I3</f>
      </c>
    </row>
    <row r="4" spans="1:16" x14ac:dyDescent="0.25">
      <c r="A4" t="s">
        <v>18</v>
      </c>
      <c r="B4" s="3">
        <v>189500</v>
      </c>
      <c r="C4" s="3">
        <v>133200</v>
      </c>
      <c r="D4" s="3">
        <f>B4-C4</f>
      </c>
      <c r="E4" s="4">
        <f>D4/B4</f>
      </c>
      <c r="F4">
        <v>438</v>
      </c>
      <c r="G4">
        <v>100</v>
      </c>
      <c r="H4" s="4">
        <f>G4/F4</f>
      </c>
      <c r="I4" s="3">
        <v>33400</v>
      </c>
      <c r="J4">
        <v>36</v>
      </c>
      <c r="K4" s="3">
        <f>I4/J4</f>
      </c>
      <c r="L4" s="3">
        <v>2130</v>
      </c>
      <c r="M4">
        <v>14</v>
      </c>
      <c r="N4" s="3">
        <f>L4*M4</f>
      </c>
      <c r="O4" s="5">
        <f>B4/I4</f>
      </c>
      <c r="P4" s="4">
        <f>D4/I4</f>
      </c>
    </row>
    <row r="5" spans="1:16" x14ac:dyDescent="0.25">
      <c r="A5" t="s">
        <v>19</v>
      </c>
      <c r="B5" s="3">
        <v>199000</v>
      </c>
      <c r="C5" s="3">
        <v>138400</v>
      </c>
      <c r="D5" s="3">
        <f>B5-C5</f>
      </c>
      <c r="E5" s="4">
        <f>D5/B5</f>
      </c>
      <c r="F5">
        <v>456</v>
      </c>
      <c r="G5">
        <v>104</v>
      </c>
      <c r="H5" s="4">
        <f>G5/F5</f>
      </c>
      <c r="I5" s="3">
        <v>34800</v>
      </c>
      <c r="J5">
        <v>38</v>
      </c>
      <c r="K5" s="3">
        <f>I5/J5</f>
      </c>
      <c r="L5" s="3">
        <v>2160</v>
      </c>
      <c r="M5">
        <v>14</v>
      </c>
      <c r="N5" s="3">
        <f>L5*M5</f>
      </c>
      <c r="O5" s="5">
        <f>B5/I5</f>
      </c>
      <c r="P5" s="4">
        <f>D5/I5</f>
      </c>
    </row>
    <row r="6" spans="1:16" x14ac:dyDescent="0.25">
      <c r="A6" t="s">
        <v>20</v>
      </c>
      <c r="B6" s="3">
        <v>208500</v>
      </c>
      <c r="C6" s="3">
        <v>143600</v>
      </c>
      <c r="D6" s="3">
        <f>B6-C6</f>
      </c>
      <c r="E6" s="4">
        <f>D6/B6</f>
      </c>
      <c r="F6">
        <v>474</v>
      </c>
      <c r="G6">
        <v>108</v>
      </c>
      <c r="H6" s="4">
        <f>G6/F6</f>
      </c>
      <c r="I6" s="3">
        <v>36200</v>
      </c>
      <c r="J6">
        <v>40</v>
      </c>
      <c r="K6" s="3">
        <f>I6/J6</f>
      </c>
      <c r="L6" s="3">
        <v>2190</v>
      </c>
      <c r="M6">
        <v>14</v>
      </c>
      <c r="N6" s="3">
        <f>L6*M6</f>
      </c>
      <c r="O6" s="5">
        <f>B6/I6</f>
      </c>
      <c r="P6" s="4">
        <f>D6/I6</f>
      </c>
    </row>
    <row r="7" spans="1:16" x14ac:dyDescent="0.25">
      <c r="A7" t="s">
        <v>21</v>
      </c>
      <c r="B7" s="3">
        <v>218000</v>
      </c>
      <c r="C7" s="3">
        <v>148800</v>
      </c>
      <c r="D7" s="3">
        <f>B7-C7</f>
      </c>
      <c r="E7" s="4">
        <f>D7/B7</f>
      </c>
      <c r="F7">
        <v>492</v>
      </c>
      <c r="G7">
        <v>112</v>
      </c>
      <c r="H7" s="4">
        <f>G7/F7</f>
      </c>
      <c r="I7" s="3">
        <v>37600</v>
      </c>
      <c r="J7">
        <v>42</v>
      </c>
      <c r="K7" s="3">
        <f>I7/J7</f>
      </c>
      <c r="L7" s="3">
        <v>2220</v>
      </c>
      <c r="M7">
        <v>14</v>
      </c>
      <c r="N7" s="3">
        <f>L7*M7</f>
      </c>
      <c r="O7" s="5">
        <f>B7/I7</f>
      </c>
      <c r="P7" s="4">
        <f>D7/I7</f>
      </c>
    </row>
    <row r="8" spans="1:16" x14ac:dyDescent="0.25">
      <c r="A8" t="s">
        <v>22</v>
      </c>
      <c r="B8" s="3">
        <v>227500</v>
      </c>
      <c r="C8" s="3">
        <v>154000</v>
      </c>
      <c r="D8" s="3">
        <f>B8-C8</f>
      </c>
      <c r="E8" s="4">
        <f>D8/B8</f>
      </c>
      <c r="F8">
        <v>510</v>
      </c>
      <c r="G8">
        <v>116</v>
      </c>
      <c r="H8" s="4">
        <f>G8/F8</f>
      </c>
      <c r="I8" s="3">
        <v>39000</v>
      </c>
      <c r="J8">
        <v>44</v>
      </c>
      <c r="K8" s="3">
        <f>I8/J8</f>
      </c>
      <c r="L8" s="3">
        <v>2250</v>
      </c>
      <c r="M8">
        <v>14</v>
      </c>
      <c r="N8" s="3">
        <f>L8*M8</f>
      </c>
      <c r="O8" s="5">
        <f>B8/I8</f>
      </c>
      <c r="P8" s="4">
        <f>D8/I8</f>
      </c>
    </row>
    <row r="9" spans="1:16" x14ac:dyDescent="0.25">
      <c r="A9" t="s">
        <v>23</v>
      </c>
      <c r="B9" s="3">
        <v>237000</v>
      </c>
      <c r="C9" s="3">
        <v>159200</v>
      </c>
      <c r="D9" s="3">
        <f>B9-C9</f>
      </c>
      <c r="E9" s="4">
        <f>D9/B9</f>
      </c>
      <c r="F9">
        <v>528</v>
      </c>
      <c r="G9">
        <v>120</v>
      </c>
      <c r="H9" s="4">
        <f>G9/F9</f>
      </c>
      <c r="I9" s="3">
        <v>40400</v>
      </c>
      <c r="J9">
        <v>46</v>
      </c>
      <c r="K9" s="3">
        <f>I9/J9</f>
      </c>
      <c r="L9" s="3">
        <v>2280</v>
      </c>
      <c r="M9">
        <v>14</v>
      </c>
      <c r="N9" s="3">
        <f>L9*M9</f>
      </c>
      <c r="O9" s="5">
        <f>B9/I9</f>
      </c>
      <c r="P9" s="4">
        <f>D9/I9</f>
      </c>
    </row>
    <row r="10" spans="1:16" x14ac:dyDescent="0.25">
      <c r="A10" t="s">
        <v>24</v>
      </c>
      <c r="B10" s="3">
        <v>246500</v>
      </c>
      <c r="C10" s="3">
        <v>164400</v>
      </c>
      <c r="D10" s="3">
        <f>B10-C10</f>
      </c>
      <c r="E10" s="4">
        <f>D10/B10</f>
      </c>
      <c r="F10">
        <v>546</v>
      </c>
      <c r="G10">
        <v>124</v>
      </c>
      <c r="H10" s="4">
        <f>G10/F10</f>
      </c>
      <c r="I10" s="3">
        <v>41800</v>
      </c>
      <c r="J10">
        <v>48</v>
      </c>
      <c r="K10" s="3">
        <f>I10/J10</f>
      </c>
      <c r="L10" s="3">
        <v>2310</v>
      </c>
      <c r="M10">
        <v>14</v>
      </c>
      <c r="N10" s="3">
        <f>L10*M10</f>
      </c>
      <c r="O10" s="5">
        <f>B10/I10</f>
      </c>
      <c r="P10" s="4">
        <f>D10/I10</f>
      </c>
    </row>
    <row r="11" spans="1:16" x14ac:dyDescent="0.25">
      <c r="A11" t="s">
        <v>25</v>
      </c>
      <c r="B11" s="3">
        <v>256000</v>
      </c>
      <c r="C11" s="3">
        <v>169600</v>
      </c>
      <c r="D11" s="3">
        <f>B11-C11</f>
      </c>
      <c r="E11" s="4">
        <f>D11/B11</f>
      </c>
      <c r="F11">
        <v>564</v>
      </c>
      <c r="G11">
        <v>128</v>
      </c>
      <c r="H11" s="4">
        <f>G11/F11</f>
      </c>
      <c r="I11" s="3">
        <v>43200</v>
      </c>
      <c r="J11">
        <v>50</v>
      </c>
      <c r="K11" s="3">
        <f>I11/J11</f>
      </c>
      <c r="L11" s="3">
        <v>2340</v>
      </c>
      <c r="M11">
        <v>14</v>
      </c>
      <c r="N11" s="3">
        <f>L11*M11</f>
      </c>
      <c r="O11" s="5">
        <f>B11/I11</f>
      </c>
      <c r="P11" s="4">
        <f>D11/I11</f>
      </c>
    </row>
    <row r="12" spans="1:16" x14ac:dyDescent="0.25">
      <c r="A12" t="s">
        <v>26</v>
      </c>
      <c r="B12" s="3">
        <v>265500</v>
      </c>
      <c r="C12" s="3">
        <v>174800</v>
      </c>
      <c r="D12" s="3">
        <f>B12-C12</f>
      </c>
      <c r="E12" s="4">
        <f>D12/B12</f>
      </c>
      <c r="F12">
        <v>582</v>
      </c>
      <c r="G12">
        <v>132</v>
      </c>
      <c r="H12" s="4">
        <f>G12/F12</f>
      </c>
      <c r="I12" s="3">
        <v>44600</v>
      </c>
      <c r="J12">
        <v>52</v>
      </c>
      <c r="K12" s="3">
        <f>I12/J12</f>
      </c>
      <c r="L12" s="3">
        <v>2370</v>
      </c>
      <c r="M12">
        <v>14</v>
      </c>
      <c r="N12" s="3">
        <f>L12*M12</f>
      </c>
      <c r="O12" s="5">
        <f>B12/I12</f>
      </c>
      <c r="P12" s="4">
        <f>D12/I12</f>
      </c>
    </row>
    <row r="13" spans="1:16" x14ac:dyDescent="0.25">
      <c r="A13" t="s">
        <v>27</v>
      </c>
      <c r="B13" s="3">
        <v>275000</v>
      </c>
      <c r="C13" s="3">
        <v>180000</v>
      </c>
      <c r="D13" s="3">
        <f>B13-C13</f>
      </c>
      <c r="E13" s="4">
        <f>D13/B13</f>
      </c>
      <c r="F13">
        <v>600</v>
      </c>
      <c r="G13">
        <v>136</v>
      </c>
      <c r="H13" s="4">
        <f>G13/F13</f>
      </c>
      <c r="I13" s="3">
        <v>46000</v>
      </c>
      <c r="J13">
        <v>54</v>
      </c>
      <c r="K13" s="3">
        <f>I13/J13</f>
      </c>
      <c r="L13" s="3">
        <v>2400</v>
      </c>
      <c r="M13">
        <v>14</v>
      </c>
      <c r="N13" s="3">
        <f>L13*M13</f>
      </c>
      <c r="O13" s="5">
        <f>B13/I13</f>
      </c>
      <c r="P13" s="4">
        <f>D13/I13</f>
      </c>
    </row>
    <row r="14" spans="1:16" x14ac:dyDescent="0.25">
      <c r="A14" t="s">
        <v>28</v>
      </c>
      <c r="B14" s="3">
        <v>284500</v>
      </c>
      <c r="C14" s="3">
        <v>185200</v>
      </c>
      <c r="D14" s="3">
        <f>B14-C14</f>
      </c>
      <c r="E14" s="4">
        <f>D14/B14</f>
      </c>
      <c r="F14">
        <v>618</v>
      </c>
      <c r="G14">
        <v>140</v>
      </c>
      <c r="H14" s="4">
        <f>G14/F14</f>
      </c>
      <c r="I14" s="3">
        <v>47400</v>
      </c>
      <c r="J14">
        <v>56</v>
      </c>
      <c r="K14" s="3">
        <f>I14/J14</f>
      </c>
      <c r="L14" s="3">
        <v>2430</v>
      </c>
      <c r="M14">
        <v>14</v>
      </c>
      <c r="N14" s="3">
        <f>L14*M14</f>
      </c>
      <c r="O14" s="5">
        <f>B14/I14</f>
      </c>
      <c r="P14" s="4">
        <f>D14/I14</f>
      </c>
    </row>
    <row r="15" spans="1:16" x14ac:dyDescent="0.25">
      <c r="A15" s="6" t="s">
        <v>29</v>
      </c>
      <c r="B15" s="7">
        <f>SUM(B3:B14)</f>
      </c>
      <c r="C15" s="7">
        <f>SUM(C3:C14)</f>
      </c>
      <c r="D15" s="7">
        <f>SUM(D3:D14)</f>
      </c>
      <c r="E15" s="8">
        <f>AVERAGE(E3:E14)</f>
      </c>
      <c r="F15" s="6">
        <f>SUM(F3:F14)</f>
      </c>
      <c r="G15" s="6">
        <f>SUM(G3:G14)</f>
      </c>
      <c r="H15" s="8">
        <f>AVERAGE(H3:H14)</f>
      </c>
      <c r="I15" s="7">
        <f>SUM(I3:I14)</f>
      </c>
      <c r="J15" s="6">
        <f>SUM(J3:J14)</f>
      </c>
      <c r="K15" s="7">
        <f>AVERAGE(K3:K14)</f>
      </c>
      <c r="L15" s="7">
        <f>AVERAGE(L3:L14)</f>
      </c>
      <c r="M15" s="6">
        <f>AVERAGE(M3:M14)</f>
      </c>
      <c r="N15" s="7">
        <f>AVERAGE(N3:N14)</f>
      </c>
      <c r="O15" s="9">
        <f>AVERAGE(O3:O14)</f>
      </c>
      <c r="P15" s="8">
        <f>AVERAGE(P3:P14)</f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90" customWidth="1"/>
  </cols>
  <sheetData>
    <row r="1" spans="1:1" x14ac:dyDescent="0.25">
      <c r="A1" s="10" t="s">
        <v>30</v>
      </c>
    </row>
    <row r="2" spans="1:1" x14ac:dyDescent="0.25">
      <c r="A2" s="11" t="s">
        <v>31</v>
      </c>
    </row>
    <row r="3" spans="1:1" x14ac:dyDescent="0.25">
      <c r="A3" s="11" t="s">
        <v>32</v>
      </c>
    </row>
    <row r="4" spans="1:1" x14ac:dyDescent="0.25">
      <c r="A4" s="11" t="s">
        <v>31</v>
      </c>
    </row>
    <row r="5" spans="1:1" x14ac:dyDescent="0.25">
      <c r="A5" s="11" t="s">
        <v>33</v>
      </c>
    </row>
    <row r="6" spans="1:1" x14ac:dyDescent="0.25">
      <c r="A6" s="11" t="s">
        <v>31</v>
      </c>
    </row>
    <row r="7" spans="1:1" x14ac:dyDescent="0.25">
      <c r="A7" s="11" t="s">
        <v>34</v>
      </c>
    </row>
    <row r="8" spans="1:1" x14ac:dyDescent="0.25">
      <c r="A8" s="11" t="s">
        <v>35</v>
      </c>
    </row>
    <row r="9" spans="1:1" x14ac:dyDescent="0.25">
      <c r="A9" s="11" t="s">
        <v>36</v>
      </c>
    </row>
    <row r="10" spans="1:1" x14ac:dyDescent="0.25">
      <c r="A10" s="11" t="s">
        <v>37</v>
      </c>
    </row>
    <row r="11" spans="1:1" x14ac:dyDescent="0.25">
      <c r="A11" s="11" t="s">
        <v>38</v>
      </c>
    </row>
    <row r="12" spans="1:1" x14ac:dyDescent="0.25">
      <c r="A12" s="11" t="s">
        <v>39</v>
      </c>
    </row>
    <row r="13" spans="1:1" x14ac:dyDescent="0.25">
      <c r="A13" s="11" t="s">
        <v>40</v>
      </c>
    </row>
    <row r="14" spans="1:1" x14ac:dyDescent="0.25">
      <c r="A14" s="11" t="s">
        <v>41</v>
      </c>
    </row>
    <row r="15" spans="1:1" x14ac:dyDescent="0.25">
      <c r="A15" s="11" t="s">
        <v>31</v>
      </c>
    </row>
    <row r="16" spans="1:1" x14ac:dyDescent="0.25">
      <c r="A16" s="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Painel de KPIs</vt:lpstr>
      <vt:lpstr>Como usar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Brusync</dc:creator>
  <dc:title/>
  <dc:subject/>
  <dc:description/>
  <cp:keywords/>
  <cp:category/>
  <cp:lastModifiedBy>Unknown</cp:lastModifiedBy>
  <dcterms:created xsi:type="dcterms:W3CDTF">2026-07-16T01:55:56Z</dcterms:created>
  <dcterms:modified xsi:type="dcterms:W3CDTF">2026-07-16T01:55:56Z</dcterms:modified>
</cp:coreProperties>
</file>